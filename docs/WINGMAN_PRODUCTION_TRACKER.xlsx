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Tracker" sheetId="1" state="visible" r:id="rId3"/>
    <sheet name="Dashboard" sheetId="2" state="visible" r:id="rId4"/>
    <sheet name="Decisions" sheetId="3" state="visible" r:id="rId5"/>
  </sheets>
  <definedNames>
    <definedName function="false" hidden="true" localSheetId="0" name="_xlnm._FilterDatabase" vbProcedure="false">Tracker!$A$4:$H$36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<sst xmlns="http://schemas.openxmlformats.org/spreadsheetml/2006/main" count="205" uniqueCount="113">
  <si>
    <t xml:space="preserve">WyreStorm Wingman — Production Readiness Tracker</t>
  </si>
  <si>
    <t xml:space="preserve">Work through Phase A first (launch safety net), then B–F. Set Status from the dropdown; the Dashboard tab summarises progress.</t>
  </si>
  <si>
    <t xml:space="preserve">#</t>
  </si>
  <si>
    <t xml:space="preserve">Phase</t>
  </si>
  <si>
    <t xml:space="preserve">Task</t>
  </si>
  <si>
    <t xml:space="preserve">Priority</t>
  </si>
  <si>
    <t xml:space="preserve">Effort (days)</t>
  </si>
  <si>
    <t xml:space="preserve">Status</t>
  </si>
  <si>
    <t xml:space="preserve">Owner</t>
  </si>
  <si>
    <t xml:space="preserve">Notes / acceptance</t>
  </si>
  <si>
    <t xml:space="preserve">A</t>
  </si>
  <si>
    <t xml:space="preserve">Remove 25 .bak files from src/ and add *.bak to .gitignore</t>
  </si>
  <si>
    <t xml:space="preserve">High</t>
  </si>
  <si>
    <t xml:space="preserve">Not started</t>
  </si>
  <si>
    <t xml:space="preserve">Stops duplicate/stale pages being shipped</t>
  </si>
  <si>
    <t xml:space="preserve">Run full 'npm run verify' and fix until green end to end</t>
  </si>
  <si>
    <t xml:space="preserve">Typecheck already passes; confirm build + all 25 guards</t>
  </si>
  <si>
    <t xml:space="preserve">Confirm 'npm run test' runs on your Windows machine</t>
  </si>
  <si>
    <t xml:space="preserve">Native-module error seen in sandbox; rule out as env-only</t>
  </si>
  <si>
    <t xml:space="preserve">Opt into React Router v7 future flags</t>
  </si>
  <si>
    <t xml:space="preserve">Medium</t>
  </si>
  <si>
    <t xml:space="preserve">Clears dev warnings; avoids breaking upgrade later</t>
  </si>
  <si>
    <t xml:space="preserve">Tag a known-good baseline commit</t>
  </si>
  <si>
    <t xml:space="preserve">Clean rollback point before feature work</t>
  </si>
  <si>
    <t xml:space="preserve">B</t>
  </si>
  <si>
    <t xml:space="preserve">Validate EXP guardrail (never primary switcher)</t>
  </si>
  <si>
    <t xml:space="preserve">EXP only for splitting / HDMI / local lectern switch</t>
  </si>
  <si>
    <t xml:space="preserve">Prove product-selection variety across scenarios</t>
  </si>
  <si>
    <t xml:space="preserve">Engine must not default to same SKU on similar I/O</t>
  </si>
  <si>
    <t xml:space="preserve">Verify room-type &amp; vertical differentiation</t>
  </si>
  <si>
    <t xml:space="preserve">Corp/Edu/Gov/Hospitality, size, multi-screen, IP vs cable</t>
  </si>
  <si>
    <t xml:space="preserve">Surface UC caveats in output (Zoom-cert, not Teams-cert)</t>
  </si>
  <si>
    <t xml:space="preserve">Teams MTRs must be tested before install</t>
  </si>
  <si>
    <t xml:space="preserve">Re-run product index + data-source audits; fix encoding</t>
  </si>
  <si>
    <t xml:space="preserve">Resolve UTF-8 issues in template/product data</t>
  </si>
  <si>
    <t xml:space="preserve">Spot-check 6-8 representative BOMs for accuracy</t>
  </si>
  <si>
    <t xml:space="preserve">Include 'by others' rows + signal-path assumptions</t>
  </si>
  <si>
    <t xml:space="preserve">C</t>
  </si>
  <si>
    <t xml:space="preserve">GURU: works for guest + signed-in users</t>
  </si>
  <si>
    <t xml:space="preserve">Tool and marketing demo; no silent mock fallback</t>
  </si>
  <si>
    <t xml:space="preserve">GURU: call-notes / transcript interpretation solid</t>
  </si>
  <si>
    <t xml:space="preserve">Handles pasted transcripts and notes</t>
  </si>
  <si>
    <t xml:space="preserve">Compare: honest pros/cons + reliable match engine</t>
  </si>
  <si>
    <t xml:space="preserve">Investigative, evidence-backed, graceful on no-match</t>
  </si>
  <si>
    <t xml:space="preserve">Proposal: Discovery-&gt;Proposal produces customer-ready doc</t>
  </si>
  <si>
    <t xml:space="preserve">Full flow end to end without dev intervention</t>
  </si>
  <si>
    <t xml:space="preserve">Diagrams: connectivity/schematic incl. multi-display &amp; IP</t>
  </si>
  <si>
    <t xml:space="preserve">Visual Studio + Videowall export quality reviewed</t>
  </si>
  <si>
    <t xml:space="preserve">UI polish: validation, skeletons, voice keyboard support</t>
  </si>
  <si>
    <t xml:space="preserve">Extend validation to all input-heavy pages</t>
  </si>
  <si>
    <t xml:space="preserve">D</t>
  </si>
  <si>
    <t xml:space="preserve">Provision Supabase project; apply schema migration</t>
  </si>
  <si>
    <t xml:space="preserve">DECISION NEEDED: confirm Supabase vs Postgres</t>
  </si>
  <si>
    <t xml:space="preserve">Migrate file-store data to Supabase; verify integrity</t>
  </si>
  <si>
    <t xml:space="preserve">Keep file backup; test concurrent use</t>
  </si>
  <si>
    <t xml:space="preserve">Set WINGMAN_STORAGE_MODE=supabase; exercise live</t>
  </si>
  <si>
    <t xml:space="preserve">Confirm no data loss under load</t>
  </si>
  <si>
    <t xml:space="preserve">Move all secrets to host secret manager</t>
  </si>
  <si>
    <t xml:space="preserve">Gemini, Google CSE, Supabase service-role key</t>
  </si>
  <si>
    <t xml:space="preserve">Health checks, structured logging, monitoring/alerting</t>
  </si>
  <si>
    <t xml:space="preserve">Uptime + error-rate alerts</t>
  </si>
  <si>
    <t xml:space="preserve">Provision hosting, domain, TLS; deploy to staging</t>
  </si>
  <si>
    <t xml:space="preserve">DECISION NEEDED: hosting target</t>
  </si>
  <si>
    <t xml:space="preserve">Run load test against staging</t>
  </si>
  <si>
    <t xml:space="preserve">Confirm target concurrency held</t>
  </si>
  <si>
    <t xml:space="preserve">E</t>
  </si>
  <si>
    <t xml:space="preserve">Add CSRF protection for state-changing requests</t>
  </si>
  <si>
    <t xml:space="preserve">Currently SameSite-cookie only</t>
  </si>
  <si>
    <t xml:space="preserve">Document API-key rotation in OPERATIONS.md</t>
  </si>
  <si>
    <t xml:space="preserve">Rotation procedure for all keys</t>
  </si>
  <si>
    <t xml:space="preserve">Full security review with HTTPS enforced</t>
  </si>
  <si>
    <t xml:space="preserve">No high-severity findings open at launch</t>
  </si>
  <si>
    <t xml:space="preserve">Decide SSO/OAuth: launch or fast-follow</t>
  </si>
  <si>
    <t xml:space="preserve">DECISION NEEDED: auth scope</t>
  </si>
  <si>
    <t xml:space="preserve">F</t>
  </si>
  <si>
    <t xml:space="preserve">Soap-test standard designs in a workshop</t>
  </si>
  <si>
    <t xml:space="preserve">Per WyreStorm rule: workshop-test before install</t>
  </si>
  <si>
    <t xml:space="preserve">UAT with 2-3 salespeople on full journey</t>
  </si>
  <si>
    <t xml:space="preserve">Discovery -&gt; Proposal sign-off</t>
  </si>
  <si>
    <t xml:space="preserve">Finish operator docs + rollback procedure</t>
  </si>
  <si>
    <t xml:space="preserve">README, DEPLOYMENT, OPERATIONS runbooks</t>
  </si>
  <si>
    <t xml:space="preserve">Final verify + load test; production deploy; go/no-go</t>
  </si>
  <si>
    <t xml:space="preserve">Against success criteria</t>
  </si>
  <si>
    <t xml:space="preserve">Total estimated effort (days)</t>
  </si>
  <si>
    <t xml:space="preserve">Progress Dashboard</t>
  </si>
  <si>
    <t xml:space="preserve">Count</t>
  </si>
  <si>
    <t xml:space="preserve">Done</t>
  </si>
  <si>
    <t xml:space="preserve">In progress</t>
  </si>
  <si>
    <t xml:space="preserve">Blocked</t>
  </si>
  <si>
    <t xml:space="preserve">Total tasks</t>
  </si>
  <si>
    <t xml:space="preserve">% complete</t>
  </si>
  <si>
    <t xml:space="preserve">By phase</t>
  </si>
  <si>
    <t xml:space="preserve">Tasks</t>
  </si>
  <si>
    <t xml:space="preserve">A — Stabilise &amp; prove build</t>
  </si>
  <si>
    <t xml:space="preserve">B — Data &amp; selection accuracy</t>
  </si>
  <si>
    <t xml:space="preserve">C — Feature completion</t>
  </si>
  <si>
    <t xml:space="preserve">D — Production infrastructure</t>
  </si>
  <si>
    <t xml:space="preserve">E — Security &amp; compliance</t>
  </si>
  <si>
    <t xml:space="preserve">F — Launch</t>
  </si>
  <si>
    <t xml:space="preserve">Decisions Needed From Steve</t>
  </si>
  <si>
    <t xml:space="preserve">Decision</t>
  </si>
  <si>
    <t xml:space="preserve">Why it matters / options</t>
  </si>
  <si>
    <t xml:space="preserve">Your call</t>
  </si>
  <si>
    <t xml:space="preserve">Production hosting</t>
  </si>
  <si>
    <t xml:space="preserve">Where app + API run (container host / VPS / cloud). Sets deploy target &amp; TLS.</t>
  </si>
  <si>
    <t xml:space="preserve">Database</t>
  </si>
  <si>
    <t xml:space="preserve">Confirm Supabase (recommended, already coded) vs self-managed Postgres.</t>
  </si>
  <si>
    <t xml:space="preserve">Auth scope for launch</t>
  </si>
  <si>
    <t xml:space="preserve">Email/password only, or add SSO/OAuth? Affects Phase E.</t>
  </si>
  <si>
    <t xml:space="preserve">Gemini / search keys</t>
  </si>
  <si>
    <t xml:space="preserve">Confirm production API keys &amp; quotas for GURU and competitor search.</t>
  </si>
  <si>
    <t xml:space="preserve">Launch audience</t>
  </si>
  <si>
    <t xml:space="preserve">Internal sales first, or external customers? Sets security/UAT bar.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</si>
</sst>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0%"/>
  </numFmts>
  <fonts count="9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rgb="FF13294B"/>
      <name val="Arial"/>
      <family val="0"/>
      <charset val="1"/>
    </font>
    <font>
      <sz val="10"/>
      <color rgb="FF595959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sz val="10"/>
      <name val="Arial"/>
      <family val="0"/>
      <charset val="1"/>
    </font>
    <font>
      <b val="true"/>
      <sz val="10"/>
      <name val="Arial"/>
      <family val="0"/>
      <charset val="1"/>
    </font>
  </fonts>
  <fills count="6">
    <fill>
      <patternFill patternType="none"/>
    </fill>
    <fill>
      <patternFill patternType="gray125"/>
    </fill>
    <fill>
      <patternFill patternType="solid">
        <fgColor rgb="FF13294B"/>
        <bgColor rgb="FF333333"/>
      </patternFill>
    </fill>
    <fill>
      <patternFill patternType="solid">
        <fgColor rgb="FFF8D7DA"/>
        <bgColor rgb="FFFFF3CD"/>
      </patternFill>
    </fill>
    <fill>
      <patternFill patternType="solid">
        <fgColor rgb="FFFFF3CD"/>
        <bgColor rgb="FFEAF1F8"/>
      </patternFill>
    </fill>
    <fill>
      <patternFill patternType="solid">
        <fgColor rgb="FFEAF1F8"/>
        <bgColor rgb="FFFF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D0D0D0"/>
      </left>
      <right style="thin">
        <color rgb="FFD0D0D0"/>
      </right>
      <top style="thin">
        <color rgb="FFD0D0D0"/>
      </top>
      <bottom style="thin">
        <color rgb="FFD0D0D0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5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5" fontId="7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5">
    <dxf>
      <fill>
        <patternFill patternType="solid">
          <fgColor rgb="FF13294B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F8D7DA"/>
          <bgColor rgb="FF000000"/>
        </patternFill>
      </fill>
    </dxf>
    <dxf>
      <fill>
        <patternFill patternType="solid">
          <fgColor rgb="FFFFF3CD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3CD"/>
      <rgbColor rgb="FFEAF1F8"/>
      <rgbColor rgb="FF660066"/>
      <rgbColor rgb="FFFF8080"/>
      <rgbColor rgb="FF0066CC"/>
      <rgbColor rgb="FFD0D0D0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8D7DA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13294B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37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4"/>
    <col collapsed="false" customWidth="true" hidden="false" outlineLevel="0" max="2" min="2" style="0" width="7"/>
    <col collapsed="false" customWidth="true" hidden="false" outlineLevel="0" max="3" min="3" style="0" width="46"/>
    <col collapsed="false" customWidth="true" hidden="false" outlineLevel="0" max="4" min="4" style="0" width="10"/>
    <col collapsed="false" customWidth="true" hidden="false" outlineLevel="0" max="5" min="5" style="0" width="12"/>
    <col collapsed="false" customWidth="true" hidden="false" outlineLevel="0" max="6" min="6" style="0" width="13"/>
    <col collapsed="false" customWidth="true" hidden="false" outlineLevel="0" max="7" min="7" style="0" width="12"/>
    <col collapsed="false" customWidth="true" hidden="false" outlineLevel="0" max="8" min="8" style="0" width="42"/>
  </cols>
  <sheetData>
    <row r="1" customFormat="false" ht="19.7" hidden="false" customHeight="false" outlineLevel="0" collapsed="false">
      <c r="A1" s="1" t="s">
        <v>0</v>
      </c>
      <c r="B1" s="1"/>
      <c r="C1" s="1"/>
      <c r="D1" s="1"/>
      <c r="E1" s="1"/>
      <c r="F1" s="1"/>
      <c r="G1" s="1"/>
      <c r="H1" s="1"/>
    </row>
    <row r="2" customFormat="false" ht="15" hidden="false" customHeight="false" outlineLevel="0" collapsed="false">
      <c r="A2" s="2" t="s">
        <v>1</v>
      </c>
      <c r="B2" s="2"/>
      <c r="C2" s="2"/>
      <c r="D2" s="2"/>
      <c r="E2" s="2"/>
      <c r="F2" s="2"/>
      <c r="G2" s="2"/>
      <c r="H2" s="2"/>
    </row>
    <row r="4" customFormat="false" ht="15" hidden="false" customHeight="false" outlineLevel="0" collapsed="false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</row>
    <row r="5" customFormat="false" ht="23.85" hidden="false" customHeight="false" outlineLevel="0" collapsed="false">
      <c r="A5" s="4" t="n">
        <v>1</v>
      </c>
      <c r="B5" s="4" t="s">
        <v>10</v>
      </c>
      <c r="C5" s="5" t="s">
        <v>11</v>
      </c>
      <c r="D5" s="6" t="s">
        <v>12</v>
      </c>
      <c r="E5" s="4" t="n">
        <v>0.5</v>
      </c>
      <c r="F5" s="4" t="s">
        <v>13</v>
      </c>
      <c r="G5" s="7"/>
      <c r="H5" s="5" t="s">
        <v>14</v>
      </c>
    </row>
    <row r="6" customFormat="false" ht="23.85" hidden="false" customHeight="false" outlineLevel="0" collapsed="false">
      <c r="A6" s="4" t="n">
        <v>2</v>
      </c>
      <c r="B6" s="4" t="s">
        <v>10</v>
      </c>
      <c r="C6" s="5" t="s">
        <v>15</v>
      </c>
      <c r="D6" s="6" t="s">
        <v>12</v>
      </c>
      <c r="E6" s="4" t="n">
        <v>1</v>
      </c>
      <c r="F6" s="4" t="s">
        <v>13</v>
      </c>
      <c r="G6" s="7"/>
      <c r="H6" s="5" t="s">
        <v>16</v>
      </c>
    </row>
    <row r="7" customFormat="false" ht="23.85" hidden="false" customHeight="false" outlineLevel="0" collapsed="false">
      <c r="A7" s="4" t="n">
        <v>3</v>
      </c>
      <c r="B7" s="4" t="s">
        <v>10</v>
      </c>
      <c r="C7" s="5" t="s">
        <v>17</v>
      </c>
      <c r="D7" s="6" t="s">
        <v>12</v>
      </c>
      <c r="E7" s="4" t="n">
        <v>0.5</v>
      </c>
      <c r="F7" s="4" t="s">
        <v>13</v>
      </c>
      <c r="G7" s="7"/>
      <c r="H7" s="5" t="s">
        <v>18</v>
      </c>
    </row>
    <row r="8" customFormat="false" ht="15" hidden="false" customHeight="false" outlineLevel="0" collapsed="false">
      <c r="A8" s="4" t="n">
        <v>4</v>
      </c>
      <c r="B8" s="4" t="s">
        <v>10</v>
      </c>
      <c r="C8" s="5" t="s">
        <v>19</v>
      </c>
      <c r="D8" s="8" t="s">
        <v>20</v>
      </c>
      <c r="E8" s="4" t="n">
        <v>0.5</v>
      </c>
      <c r="F8" s="4" t="s">
        <v>13</v>
      </c>
      <c r="G8" s="7"/>
      <c r="H8" s="5" t="s">
        <v>21</v>
      </c>
    </row>
    <row r="9" customFormat="false" ht="15" hidden="false" customHeight="false" outlineLevel="0" collapsed="false">
      <c r="A9" s="4" t="n">
        <v>5</v>
      </c>
      <c r="B9" s="4" t="s">
        <v>10</v>
      </c>
      <c r="C9" s="5" t="s">
        <v>22</v>
      </c>
      <c r="D9" s="8" t="s">
        <v>20</v>
      </c>
      <c r="E9" s="4" t="n">
        <v>0.25</v>
      </c>
      <c r="F9" s="4" t="s">
        <v>13</v>
      </c>
      <c r="G9" s="7"/>
      <c r="H9" s="5" t="s">
        <v>23</v>
      </c>
    </row>
    <row r="10" customFormat="false" ht="15" hidden="false" customHeight="false" outlineLevel="0" collapsed="false">
      <c r="A10" s="4" t="n">
        <v>6</v>
      </c>
      <c r="B10" s="4" t="s">
        <v>24</v>
      </c>
      <c r="C10" s="5" t="s">
        <v>25</v>
      </c>
      <c r="D10" s="6" t="s">
        <v>12</v>
      </c>
      <c r="E10" s="4" t="n">
        <v>0.5</v>
      </c>
      <c r="F10" s="4" t="s">
        <v>13</v>
      </c>
      <c r="G10" s="7"/>
      <c r="H10" s="5" t="s">
        <v>26</v>
      </c>
    </row>
    <row r="11" customFormat="false" ht="15" hidden="false" customHeight="false" outlineLevel="0" collapsed="false">
      <c r="A11" s="4" t="n">
        <v>7</v>
      </c>
      <c r="B11" s="4" t="s">
        <v>24</v>
      </c>
      <c r="C11" s="5" t="s">
        <v>27</v>
      </c>
      <c r="D11" s="6" t="s">
        <v>12</v>
      </c>
      <c r="E11" s="4" t="n">
        <v>1</v>
      </c>
      <c r="F11" s="4" t="s">
        <v>13</v>
      </c>
      <c r="G11" s="7"/>
      <c r="H11" s="5" t="s">
        <v>28</v>
      </c>
    </row>
    <row r="12" customFormat="false" ht="23.85" hidden="false" customHeight="false" outlineLevel="0" collapsed="false">
      <c r="A12" s="4" t="n">
        <v>8</v>
      </c>
      <c r="B12" s="4" t="s">
        <v>24</v>
      </c>
      <c r="C12" s="5" t="s">
        <v>29</v>
      </c>
      <c r="D12" s="6" t="s">
        <v>12</v>
      </c>
      <c r="E12" s="4" t="n">
        <v>1</v>
      </c>
      <c r="F12" s="4" t="s">
        <v>13</v>
      </c>
      <c r="G12" s="7"/>
      <c r="H12" s="5" t="s">
        <v>30</v>
      </c>
    </row>
    <row r="13" customFormat="false" ht="23.85" hidden="false" customHeight="false" outlineLevel="0" collapsed="false">
      <c r="A13" s="4" t="n">
        <v>9</v>
      </c>
      <c r="B13" s="4" t="s">
        <v>24</v>
      </c>
      <c r="C13" s="5" t="s">
        <v>31</v>
      </c>
      <c r="D13" s="8" t="s">
        <v>20</v>
      </c>
      <c r="E13" s="4" t="n">
        <v>0.5</v>
      </c>
      <c r="F13" s="4" t="s">
        <v>13</v>
      </c>
      <c r="G13" s="7"/>
      <c r="H13" s="5" t="s">
        <v>32</v>
      </c>
    </row>
    <row r="14" customFormat="false" ht="15" hidden="false" customHeight="false" outlineLevel="0" collapsed="false">
      <c r="A14" s="4" t="n">
        <v>10</v>
      </c>
      <c r="B14" s="4" t="s">
        <v>24</v>
      </c>
      <c r="C14" s="5" t="s">
        <v>33</v>
      </c>
      <c r="D14" s="8" t="s">
        <v>20</v>
      </c>
      <c r="E14" s="4" t="n">
        <v>0.5</v>
      </c>
      <c r="F14" s="4" t="s">
        <v>13</v>
      </c>
      <c r="G14" s="7"/>
      <c r="H14" s="5" t="s">
        <v>34</v>
      </c>
    </row>
    <row r="15" customFormat="false" ht="15" hidden="false" customHeight="false" outlineLevel="0" collapsed="false">
      <c r="A15" s="4" t="n">
        <v>11</v>
      </c>
      <c r="B15" s="4" t="s">
        <v>24</v>
      </c>
      <c r="C15" s="5" t="s">
        <v>35</v>
      </c>
      <c r="D15" s="6" t="s">
        <v>12</v>
      </c>
      <c r="E15" s="4" t="n">
        <v>1</v>
      </c>
      <c r="F15" s="4" t="s">
        <v>13</v>
      </c>
      <c r="G15" s="7"/>
      <c r="H15" s="5" t="s">
        <v>36</v>
      </c>
    </row>
    <row r="16" customFormat="false" ht="15" hidden="false" customHeight="false" outlineLevel="0" collapsed="false">
      <c r="A16" s="4" t="n">
        <v>12</v>
      </c>
      <c r="B16" s="4" t="s">
        <v>37</v>
      </c>
      <c r="C16" s="5" t="s">
        <v>38</v>
      </c>
      <c r="D16" s="6" t="s">
        <v>12</v>
      </c>
      <c r="E16" s="4" t="n">
        <v>1</v>
      </c>
      <c r="F16" s="4" t="s">
        <v>13</v>
      </c>
      <c r="G16" s="7"/>
      <c r="H16" s="5" t="s">
        <v>39</v>
      </c>
    </row>
    <row r="17" customFormat="false" ht="15" hidden="false" customHeight="false" outlineLevel="0" collapsed="false">
      <c r="A17" s="4" t="n">
        <v>13</v>
      </c>
      <c r="B17" s="4" t="s">
        <v>37</v>
      </c>
      <c r="C17" s="5" t="s">
        <v>40</v>
      </c>
      <c r="D17" s="8" t="s">
        <v>20</v>
      </c>
      <c r="E17" s="4" t="n">
        <v>0.5</v>
      </c>
      <c r="F17" s="4" t="s">
        <v>13</v>
      </c>
      <c r="G17" s="7"/>
      <c r="H17" s="5" t="s">
        <v>41</v>
      </c>
    </row>
    <row r="18" customFormat="false" ht="23.85" hidden="false" customHeight="false" outlineLevel="0" collapsed="false">
      <c r="A18" s="4" t="n">
        <v>14</v>
      </c>
      <c r="B18" s="4" t="s">
        <v>37</v>
      </c>
      <c r="C18" s="5" t="s">
        <v>42</v>
      </c>
      <c r="D18" s="6" t="s">
        <v>12</v>
      </c>
      <c r="E18" s="4" t="n">
        <v>1</v>
      </c>
      <c r="F18" s="4" t="s">
        <v>13</v>
      </c>
      <c r="G18" s="7"/>
      <c r="H18" s="5" t="s">
        <v>43</v>
      </c>
    </row>
    <row r="19" customFormat="false" ht="23.85" hidden="false" customHeight="false" outlineLevel="0" collapsed="false">
      <c r="A19" s="4" t="n">
        <v>15</v>
      </c>
      <c r="B19" s="4" t="s">
        <v>37</v>
      </c>
      <c r="C19" s="5" t="s">
        <v>44</v>
      </c>
      <c r="D19" s="6" t="s">
        <v>12</v>
      </c>
      <c r="E19" s="4" t="n">
        <v>1.5</v>
      </c>
      <c r="F19" s="4" t="s">
        <v>13</v>
      </c>
      <c r="G19" s="7"/>
      <c r="H19" s="5" t="s">
        <v>45</v>
      </c>
    </row>
    <row r="20" customFormat="false" ht="15" hidden="false" customHeight="false" outlineLevel="0" collapsed="false">
      <c r="A20" s="4" t="n">
        <v>16</v>
      </c>
      <c r="B20" s="4" t="s">
        <v>37</v>
      </c>
      <c r="C20" s="5" t="s">
        <v>46</v>
      </c>
      <c r="D20" s="6" t="s">
        <v>12</v>
      </c>
      <c r="E20" s="4" t="n">
        <v>1</v>
      </c>
      <c r="F20" s="4" t="s">
        <v>13</v>
      </c>
      <c r="G20" s="7"/>
      <c r="H20" s="5" t="s">
        <v>47</v>
      </c>
    </row>
    <row r="21" customFormat="false" ht="15" hidden="false" customHeight="false" outlineLevel="0" collapsed="false">
      <c r="A21" s="4" t="n">
        <v>17</v>
      </c>
      <c r="B21" s="4" t="s">
        <v>37</v>
      </c>
      <c r="C21" s="5" t="s">
        <v>48</v>
      </c>
      <c r="D21" s="8" t="s">
        <v>20</v>
      </c>
      <c r="E21" s="4" t="n">
        <v>1</v>
      </c>
      <c r="F21" s="4" t="s">
        <v>13</v>
      </c>
      <c r="G21" s="7"/>
      <c r="H21" s="5" t="s">
        <v>49</v>
      </c>
    </row>
    <row r="22" customFormat="false" ht="23.85" hidden="false" customHeight="false" outlineLevel="0" collapsed="false">
      <c r="A22" s="4" t="n">
        <v>18</v>
      </c>
      <c r="B22" s="4" t="s">
        <v>50</v>
      </c>
      <c r="C22" s="5" t="s">
        <v>51</v>
      </c>
      <c r="D22" s="6" t="s">
        <v>12</v>
      </c>
      <c r="E22" s="4" t="n">
        <v>0.5</v>
      </c>
      <c r="F22" s="4" t="s">
        <v>13</v>
      </c>
      <c r="G22" s="7"/>
      <c r="H22" s="5" t="s">
        <v>52</v>
      </c>
    </row>
    <row r="23" customFormat="false" ht="15" hidden="false" customHeight="false" outlineLevel="0" collapsed="false">
      <c r="A23" s="4" t="n">
        <v>19</v>
      </c>
      <c r="B23" s="4" t="s">
        <v>50</v>
      </c>
      <c r="C23" s="5" t="s">
        <v>53</v>
      </c>
      <c r="D23" s="6" t="s">
        <v>12</v>
      </c>
      <c r="E23" s="4" t="n">
        <v>1</v>
      </c>
      <c r="F23" s="4" t="s">
        <v>13</v>
      </c>
      <c r="G23" s="7"/>
      <c r="H23" s="5" t="s">
        <v>54</v>
      </c>
    </row>
    <row r="24" customFormat="false" ht="23.85" hidden="false" customHeight="false" outlineLevel="0" collapsed="false">
      <c r="A24" s="4" t="n">
        <v>20</v>
      </c>
      <c r="B24" s="4" t="s">
        <v>50</v>
      </c>
      <c r="C24" s="5" t="s">
        <v>55</v>
      </c>
      <c r="D24" s="6" t="s">
        <v>12</v>
      </c>
      <c r="E24" s="4" t="n">
        <v>0.5</v>
      </c>
      <c r="F24" s="4" t="s">
        <v>13</v>
      </c>
      <c r="G24" s="7"/>
      <c r="H24" s="5" t="s">
        <v>56</v>
      </c>
    </row>
    <row r="25" customFormat="false" ht="15" hidden="false" customHeight="false" outlineLevel="0" collapsed="false">
      <c r="A25" s="4" t="n">
        <v>21</v>
      </c>
      <c r="B25" s="4" t="s">
        <v>50</v>
      </c>
      <c r="C25" s="5" t="s">
        <v>57</v>
      </c>
      <c r="D25" s="6" t="s">
        <v>12</v>
      </c>
      <c r="E25" s="4" t="n">
        <v>0.5</v>
      </c>
      <c r="F25" s="4" t="s">
        <v>13</v>
      </c>
      <c r="G25" s="7"/>
      <c r="H25" s="5" t="s">
        <v>58</v>
      </c>
    </row>
    <row r="26" customFormat="false" ht="15" hidden="false" customHeight="false" outlineLevel="0" collapsed="false">
      <c r="A26" s="4" t="n">
        <v>22</v>
      </c>
      <c r="B26" s="4" t="s">
        <v>50</v>
      </c>
      <c r="C26" s="5" t="s">
        <v>59</v>
      </c>
      <c r="D26" s="6" t="s">
        <v>12</v>
      </c>
      <c r="E26" s="4" t="n">
        <v>1</v>
      </c>
      <c r="F26" s="4" t="s">
        <v>13</v>
      </c>
      <c r="G26" s="7"/>
      <c r="H26" s="5" t="s">
        <v>60</v>
      </c>
    </row>
    <row r="27" customFormat="false" ht="15" hidden="false" customHeight="false" outlineLevel="0" collapsed="false">
      <c r="A27" s="4" t="n">
        <v>23</v>
      </c>
      <c r="B27" s="4" t="s">
        <v>50</v>
      </c>
      <c r="C27" s="5" t="s">
        <v>61</v>
      </c>
      <c r="D27" s="6" t="s">
        <v>12</v>
      </c>
      <c r="E27" s="4" t="n">
        <v>1</v>
      </c>
      <c r="F27" s="4" t="s">
        <v>13</v>
      </c>
      <c r="G27" s="7"/>
      <c r="H27" s="5" t="s">
        <v>62</v>
      </c>
    </row>
    <row r="28" customFormat="false" ht="15" hidden="false" customHeight="false" outlineLevel="0" collapsed="false">
      <c r="A28" s="4" t="n">
        <v>24</v>
      </c>
      <c r="B28" s="4" t="s">
        <v>50</v>
      </c>
      <c r="C28" s="5" t="s">
        <v>63</v>
      </c>
      <c r="D28" s="8" t="s">
        <v>20</v>
      </c>
      <c r="E28" s="4" t="n">
        <v>0.5</v>
      </c>
      <c r="F28" s="4" t="s">
        <v>13</v>
      </c>
      <c r="G28" s="7"/>
      <c r="H28" s="5" t="s">
        <v>64</v>
      </c>
    </row>
    <row r="29" customFormat="false" ht="15" hidden="false" customHeight="false" outlineLevel="0" collapsed="false">
      <c r="A29" s="4" t="n">
        <v>25</v>
      </c>
      <c r="B29" s="4" t="s">
        <v>65</v>
      </c>
      <c r="C29" s="5" t="s">
        <v>66</v>
      </c>
      <c r="D29" s="6" t="s">
        <v>12</v>
      </c>
      <c r="E29" s="4" t="n">
        <v>0.5</v>
      </c>
      <c r="F29" s="4" t="s">
        <v>13</v>
      </c>
      <c r="G29" s="7"/>
      <c r="H29" s="5" t="s">
        <v>67</v>
      </c>
    </row>
    <row r="30" customFormat="false" ht="15" hidden="false" customHeight="false" outlineLevel="0" collapsed="false">
      <c r="A30" s="4" t="n">
        <v>26</v>
      </c>
      <c r="B30" s="4" t="s">
        <v>65</v>
      </c>
      <c r="C30" s="5" t="s">
        <v>68</v>
      </c>
      <c r="D30" s="8" t="s">
        <v>20</v>
      </c>
      <c r="E30" s="4" t="n">
        <v>0.5</v>
      </c>
      <c r="F30" s="4" t="s">
        <v>13</v>
      </c>
      <c r="G30" s="7"/>
      <c r="H30" s="5" t="s">
        <v>69</v>
      </c>
    </row>
    <row r="31" customFormat="false" ht="15" hidden="false" customHeight="false" outlineLevel="0" collapsed="false">
      <c r="A31" s="4" t="n">
        <v>27</v>
      </c>
      <c r="B31" s="4" t="s">
        <v>65</v>
      </c>
      <c r="C31" s="5" t="s">
        <v>70</v>
      </c>
      <c r="D31" s="6" t="s">
        <v>12</v>
      </c>
      <c r="E31" s="4" t="n">
        <v>1</v>
      </c>
      <c r="F31" s="4" t="s">
        <v>13</v>
      </c>
      <c r="G31" s="7"/>
      <c r="H31" s="5" t="s">
        <v>71</v>
      </c>
    </row>
    <row r="32" customFormat="false" ht="15" hidden="false" customHeight="false" outlineLevel="0" collapsed="false">
      <c r="A32" s="4" t="n">
        <v>28</v>
      </c>
      <c r="B32" s="4" t="s">
        <v>65</v>
      </c>
      <c r="C32" s="5" t="s">
        <v>72</v>
      </c>
      <c r="D32" s="8" t="s">
        <v>20</v>
      </c>
      <c r="E32" s="4" t="n">
        <v>0.25</v>
      </c>
      <c r="F32" s="4" t="s">
        <v>13</v>
      </c>
      <c r="G32" s="7"/>
      <c r="H32" s="5" t="s">
        <v>73</v>
      </c>
    </row>
    <row r="33" customFormat="false" ht="15" hidden="false" customHeight="false" outlineLevel="0" collapsed="false">
      <c r="A33" s="4" t="n">
        <v>29</v>
      </c>
      <c r="B33" s="4" t="s">
        <v>74</v>
      </c>
      <c r="C33" s="5" t="s">
        <v>75</v>
      </c>
      <c r="D33" s="6" t="s">
        <v>12</v>
      </c>
      <c r="E33" s="4" t="n">
        <v>1</v>
      </c>
      <c r="F33" s="4" t="s">
        <v>13</v>
      </c>
      <c r="G33" s="7"/>
      <c r="H33" s="5" t="s">
        <v>76</v>
      </c>
    </row>
    <row r="34" customFormat="false" ht="15" hidden="false" customHeight="false" outlineLevel="0" collapsed="false">
      <c r="A34" s="4" t="n">
        <v>30</v>
      </c>
      <c r="B34" s="4" t="s">
        <v>74</v>
      </c>
      <c r="C34" s="5" t="s">
        <v>77</v>
      </c>
      <c r="D34" s="6" t="s">
        <v>12</v>
      </c>
      <c r="E34" s="4" t="n">
        <v>1</v>
      </c>
      <c r="F34" s="4" t="s">
        <v>13</v>
      </c>
      <c r="G34" s="7"/>
      <c r="H34" s="5" t="s">
        <v>78</v>
      </c>
    </row>
    <row r="35" customFormat="false" ht="23.85" hidden="false" customHeight="false" outlineLevel="0" collapsed="false">
      <c r="A35" s="4" t="n">
        <v>31</v>
      </c>
      <c r="B35" s="4" t="s">
        <v>74</v>
      </c>
      <c r="C35" s="5" t="s">
        <v>79</v>
      </c>
      <c r="D35" s="8" t="s">
        <v>20</v>
      </c>
      <c r="E35" s="4" t="n">
        <v>0.5</v>
      </c>
      <c r="F35" s="4" t="s">
        <v>13</v>
      </c>
      <c r="G35" s="7"/>
      <c r="H35" s="5" t="s">
        <v>80</v>
      </c>
    </row>
    <row r="36" customFormat="false" ht="15" hidden="false" customHeight="false" outlineLevel="0" collapsed="false">
      <c r="A36" s="4" t="n">
        <v>32</v>
      </c>
      <c r="B36" s="4" t="s">
        <v>74</v>
      </c>
      <c r="C36" s="5" t="s">
        <v>81</v>
      </c>
      <c r="D36" s="6" t="s">
        <v>12</v>
      </c>
      <c r="E36" s="4" t="n">
        <v>0.5</v>
      </c>
      <c r="F36" s="4" t="s">
        <v>13</v>
      </c>
      <c r="G36" s="7"/>
      <c r="H36" s="5" t="s">
        <v>82</v>
      </c>
    </row>
    <row r="37" customFormat="false" ht="15" hidden="false" customHeight="false" outlineLevel="0" collapsed="false">
      <c r="C37" s="9" t="s">
        <v>83</v>
      </c>
      <c r="E37" s="10" t="n">
        <f aca="false">SUM(E5:E36)</f>
        <v>23.5</v>
      </c>
    </row>
  </sheetData>
  <autoFilter ref="A4:H36"/>
  <mergeCells count="2">
    <mergeCell ref="A1:H1"/>
    <mergeCell ref="A2:H2"/>
  </mergeCells>
  <dataValidations count="2">
    <dataValidation allowBlank="true" errorStyle="stop" operator="between" showDropDown="false" showErrorMessage="false" showInputMessage="false" sqref="F5:F36" type="list">
      <formula1>"Not started,In progress,Blocked,Done"</formula1>
      <formula2>0</formula2>
    </dataValidation>
    <dataValidation allowBlank="true" errorStyle="stop" operator="between" showDropDown="false" showErrorMessage="false" showInputMessage="false" sqref="D5:D36" type="list">
      <formula1>"High,Medium,Low"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30"/>
    <col collapsed="false" customWidth="true" hidden="false" outlineLevel="0" max="2" min="2" style="0" width="12"/>
    <col collapsed="false" customWidth="true" hidden="false" outlineLevel="0" max="3" min="3" style="0" width="10"/>
    <col collapsed="false" customWidth="true" hidden="false" outlineLevel="0" max="4" min="4" style="0" width="14"/>
  </cols>
  <sheetData>
    <row r="1" customFormat="false" ht="19.7" hidden="false" customHeight="false" outlineLevel="0" collapsed="false">
      <c r="A1" s="1" t="s">
        <v>84</v>
      </c>
      <c r="B1" s="1"/>
      <c r="C1" s="1"/>
      <c r="D1" s="1"/>
    </row>
    <row r="3" customFormat="false" ht="15" hidden="false" customHeight="false" outlineLevel="0" collapsed="false">
      <c r="A3" s="3" t="s">
        <v>7</v>
      </c>
      <c r="B3" s="3" t="s">
        <v>85</v>
      </c>
    </row>
    <row r="4" customFormat="false" ht="15" hidden="false" customHeight="false" outlineLevel="0" collapsed="false">
      <c r="A4" s="7" t="s">
        <v>86</v>
      </c>
      <c r="B4" s="4" t="n">
        <f aca="false">COUNTIF(Tracker!F:F,"Done")</f>
        <v>0</v>
      </c>
      <c r="C4" s="4"/>
      <c r="D4" s="4"/>
    </row>
    <row r="5" customFormat="false" ht="15" hidden="false" customHeight="false" outlineLevel="0" collapsed="false">
      <c r="A5" s="7" t="s">
        <v>87</v>
      </c>
      <c r="B5" s="4" t="n">
        <f aca="false">COUNTIF(Tracker!F:F,"In progress")</f>
        <v>0</v>
      </c>
      <c r="C5" s="4"/>
      <c r="D5" s="4"/>
    </row>
    <row r="6" customFormat="false" ht="15" hidden="false" customHeight="false" outlineLevel="0" collapsed="false">
      <c r="A6" s="7" t="s">
        <v>88</v>
      </c>
      <c r="B6" s="4" t="n">
        <f aca="false">COUNTIF(Tracker!F:F,"Blocked")</f>
        <v>0</v>
      </c>
      <c r="C6" s="4"/>
      <c r="D6" s="4"/>
    </row>
    <row r="7" customFormat="false" ht="15" hidden="false" customHeight="false" outlineLevel="0" collapsed="false">
      <c r="A7" s="7" t="s">
        <v>13</v>
      </c>
      <c r="B7" s="4" t="n">
        <f aca="false">COUNTIF(Tracker!F:F,"Not started")</f>
        <v>32</v>
      </c>
      <c r="C7" s="4"/>
      <c r="D7" s="4"/>
    </row>
    <row r="8" customFormat="false" ht="15" hidden="false" customHeight="false" outlineLevel="0" collapsed="false">
      <c r="A8" s="7" t="s">
        <v>89</v>
      </c>
      <c r="B8" s="4" t="n">
        <f aca="false">COUNTA(Tracker!C5:C36)</f>
        <v>32</v>
      </c>
      <c r="C8" s="4"/>
      <c r="D8" s="4"/>
    </row>
    <row r="9" customFormat="false" ht="15" hidden="false" customHeight="false" outlineLevel="0" collapsed="false">
      <c r="A9" s="7" t="s">
        <v>90</v>
      </c>
      <c r="B9" s="11" t="n">
        <f aca="false">IF(B8=0,0,B4/B8)</f>
        <v>0</v>
      </c>
      <c r="C9" s="4"/>
      <c r="D9" s="4"/>
    </row>
    <row r="10" customFormat="false" ht="15" hidden="false" customHeight="false" outlineLevel="0" collapsed="false">
      <c r="A10" s="7"/>
      <c r="B10" s="4"/>
      <c r="C10" s="4"/>
      <c r="D10" s="4"/>
    </row>
    <row r="11" customFormat="false" ht="15" hidden="false" customHeight="false" outlineLevel="0" collapsed="false">
      <c r="A11" s="7" t="s">
        <v>91</v>
      </c>
      <c r="B11" s="4"/>
      <c r="C11" s="4"/>
      <c r="D11" s="4"/>
    </row>
    <row r="12" customFormat="false" ht="15" hidden="false" customHeight="false" outlineLevel="0" collapsed="false">
      <c r="A12" s="12" t="s">
        <v>3</v>
      </c>
      <c r="B12" s="12" t="s">
        <v>92</v>
      </c>
      <c r="C12" s="12" t="s">
        <v>86</v>
      </c>
      <c r="D12" s="12" t="s">
        <v>6</v>
      </c>
    </row>
    <row r="13" customFormat="false" ht="15" hidden="false" customHeight="false" outlineLevel="0" collapsed="false">
      <c r="A13" s="7" t="s">
        <v>93</v>
      </c>
      <c r="B13" s="4" t="n">
        <f aca="false">COUNTIF(Tracker!B:B,"A")</f>
        <v>5</v>
      </c>
      <c r="C13" s="4" t="n">
        <f aca="false">COUNTIFS(Tracker!B:B,"A",Tracker!F:F,"Done")</f>
        <v>0</v>
      </c>
      <c r="D13" s="4" t="n">
        <f aca="false">SUMIF(Tracker!B:B,"A",Tracker!E:E)</f>
        <v>2.75</v>
      </c>
    </row>
    <row r="14" customFormat="false" ht="15" hidden="false" customHeight="false" outlineLevel="0" collapsed="false">
      <c r="A14" s="7" t="s">
        <v>94</v>
      </c>
      <c r="B14" s="4" t="n">
        <f aca="false">COUNTIF(Tracker!B:B,"B")</f>
        <v>6</v>
      </c>
      <c r="C14" s="4" t="n">
        <f aca="false">COUNTIFS(Tracker!B:B,"B",Tracker!F:F,"Done")</f>
        <v>0</v>
      </c>
      <c r="D14" s="4" t="n">
        <f aca="false">SUMIF(Tracker!B:B,"B",Tracker!E:E)</f>
        <v>4.5</v>
      </c>
    </row>
    <row r="15" customFormat="false" ht="15" hidden="false" customHeight="false" outlineLevel="0" collapsed="false">
      <c r="A15" s="7" t="s">
        <v>95</v>
      </c>
      <c r="B15" s="4" t="n">
        <f aca="false">COUNTIF(Tracker!B:B,"C")</f>
        <v>6</v>
      </c>
      <c r="C15" s="4" t="n">
        <f aca="false">COUNTIFS(Tracker!B:B,"C",Tracker!F:F,"Done")</f>
        <v>0</v>
      </c>
      <c r="D15" s="4" t="n">
        <f aca="false">SUMIF(Tracker!B:B,"C",Tracker!E:E)</f>
        <v>6</v>
      </c>
    </row>
    <row r="16" customFormat="false" ht="15" hidden="false" customHeight="false" outlineLevel="0" collapsed="false">
      <c r="A16" s="7" t="s">
        <v>96</v>
      </c>
      <c r="B16" s="4" t="n">
        <f aca="false">COUNTIF(Tracker!B:B,"D")</f>
        <v>7</v>
      </c>
      <c r="C16" s="4" t="n">
        <f aca="false">COUNTIFS(Tracker!B:B,"D",Tracker!F:F,"Done")</f>
        <v>0</v>
      </c>
      <c r="D16" s="4" t="n">
        <f aca="false">SUMIF(Tracker!B:B,"D",Tracker!E:E)</f>
        <v>5</v>
      </c>
    </row>
    <row r="17" customFormat="false" ht="15" hidden="false" customHeight="false" outlineLevel="0" collapsed="false">
      <c r="A17" s="7" t="s">
        <v>97</v>
      </c>
      <c r="B17" s="4" t="n">
        <f aca="false">COUNTIF(Tracker!B:B,"E")</f>
        <v>4</v>
      </c>
      <c r="C17" s="4" t="n">
        <f aca="false">COUNTIFS(Tracker!B:B,"E",Tracker!F:F,"Done")</f>
        <v>0</v>
      </c>
      <c r="D17" s="4" t="n">
        <f aca="false">SUMIF(Tracker!B:B,"E",Tracker!E:E)</f>
        <v>2.25</v>
      </c>
    </row>
    <row r="18" customFormat="false" ht="15" hidden="false" customHeight="false" outlineLevel="0" collapsed="false">
      <c r="A18" s="7" t="s">
        <v>98</v>
      </c>
      <c r="B18" s="4" t="n">
        <f aca="false">COUNTIF(Tracker!B:B,"F")</f>
        <v>4</v>
      </c>
      <c r="C18" s="4" t="n">
        <f aca="false">COUNTIFS(Tracker!B:B,"F",Tracker!F:F,"Done")</f>
        <v>0</v>
      </c>
      <c r="D18" s="4" t="n">
        <f aca="false">SUMIF(Tracker!B:B,"F",Tracker!E:E)</f>
        <v>3</v>
      </c>
    </row>
  </sheetData>
  <mergeCells count="1">
    <mergeCell ref="A1:D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4"/>
    <col collapsed="false" customWidth="true" hidden="false" outlineLevel="0" max="2" min="2" style="0" width="60"/>
    <col collapsed="false" customWidth="true" hidden="false" outlineLevel="0" max="3" min="3" style="0" width="24"/>
  </cols>
  <sheetData>
    <row r="1" customFormat="false" ht="19.7" hidden="false" customHeight="false" outlineLevel="0" collapsed="false">
      <c r="A1" s="1" t="s">
        <v>99</v>
      </c>
      <c r="B1" s="1"/>
      <c r="C1" s="1"/>
    </row>
    <row r="3" customFormat="false" ht="15" hidden="false" customHeight="false" outlineLevel="0" collapsed="false">
      <c r="A3" s="3" t="s">
        <v>100</v>
      </c>
      <c r="B3" s="3" t="s">
        <v>101</v>
      </c>
      <c r="C3" s="3" t="s">
        <v>102</v>
      </c>
    </row>
    <row r="4" customFormat="false" ht="23.85" hidden="false" customHeight="false" outlineLevel="0" collapsed="false">
      <c r="A4" s="13" t="s">
        <v>103</v>
      </c>
      <c r="B4" s="5" t="s">
        <v>104</v>
      </c>
      <c r="C4" s="5"/>
    </row>
    <row r="5" customFormat="false" ht="23.85" hidden="false" customHeight="false" outlineLevel="0" collapsed="false">
      <c r="A5" s="13" t="s">
        <v>105</v>
      </c>
      <c r="B5" s="5" t="s">
        <v>106</v>
      </c>
      <c r="C5" s="5"/>
    </row>
    <row r="6" customFormat="false" ht="15" hidden="false" customHeight="false" outlineLevel="0" collapsed="false">
      <c r="A6" s="13" t="s">
        <v>107</v>
      </c>
      <c r="B6" s="5" t="s">
        <v>108</v>
      </c>
      <c r="C6" s="5"/>
    </row>
    <row r="7" customFormat="false" ht="15" hidden="false" customHeight="false" outlineLevel="0" collapsed="false">
      <c r="A7" s="13" t="s">
        <v>109</v>
      </c>
      <c r="B7" s="5" t="s">
        <v>110</v>
      </c>
      <c r="C7" s="5"/>
    </row>
    <row r="8" customFormat="false" ht="15" hidden="false" customHeight="false" outlineLevel="0" collapsed="false">
      <c r="A8" s="13" t="s">
        <v>111</v>
      </c>
      <c r="B8" s="5" t="s">
        <v>112</v>
      </c>
      <c r="C8" s="5"/>
    </row>
  </sheetData>
  <mergeCells count="1">
    <mergeCell ref="A1:C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LibreOffice/26.2.2.2$Linux_X86_64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2026-06-06T19:10:24Z</dcterms:created>
  <dc:creator>openpyxl</dc:creator>
  <dc:description/>
  <dc:language>en-US</dc:language>
  <cp:lastModifiedBy/>
  <dcterms:modified xsi:type="dcterms:W3CDTF">2026-06-06T19:10:24Z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